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d6eb9ce1154fe/share/"/>
    </mc:Choice>
  </mc:AlternateContent>
  <xr:revisionPtr revIDLastSave="349" documentId="8_{B3C6A39A-5E6E-9D46-886F-6D4DA7857892}" xr6:coauthVersionLast="45" xr6:coauthVersionMax="45" xr10:uidLastSave="{B30438C8-2706-6A40-8546-5BD0844BAD06}"/>
  <bookViews>
    <workbookView xWindow="1360" yWindow="960" windowWidth="27060" windowHeight="16540" xr2:uid="{6E1F0049-A85F-E543-A2DD-5F34E6E2F941}"/>
  </bookViews>
  <sheets>
    <sheet name="tune" sheetId="9" r:id="rId1"/>
    <sheet name="size_16" sheetId="12" r:id="rId2"/>
    <sheet name="size_32" sheetId="1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" i="9"/>
</calcChain>
</file>

<file path=xl/sharedStrings.xml><?xml version="1.0" encoding="utf-8"?>
<sst xmlns="http://schemas.openxmlformats.org/spreadsheetml/2006/main" count="16" uniqueCount="14">
  <si>
    <t>N</t>
  </si>
  <si>
    <t>BLAS (GFlops)</t>
  </si>
  <si>
    <t>Your Result (GFlops) (16x8)</t>
  </si>
  <si>
    <t>Your Result (GFlops) (16x16)</t>
  </si>
  <si>
    <t>Speedup</t>
  </si>
  <si>
    <t>Performance</t>
  </si>
  <si>
    <t>16x16</t>
  </si>
  <si>
    <t>16x8</t>
  </si>
  <si>
    <t>8x8</t>
  </si>
  <si>
    <t>8x4</t>
  </si>
  <si>
    <t>16x16, TW32</t>
  </si>
  <si>
    <t>16x16, TW16</t>
  </si>
  <si>
    <t>16x8, TW32</t>
  </si>
  <si>
    <t>16x8, TW16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</si>
</sst>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.5"/>
      <color rgb="FF212121"/>
      <name val="Lato"/>
    </font>
    <font>
      <sz val="11.5"/>
      <color theme="1"/>
      <name val="Lato"/>
    </font>
    <font>
      <sz val="12"/>
      <color rgb="FF000000"/>
      <name val="Calibri"/>
      <family val="2"/>
      <scheme val="minor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tune!$E$1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(tune!$A$2,tune!$A$6,tune!$A$9,tune!$A$12,tune!$A$13,tune!$A$14,tune!$A$19,tune!$A$20,tune!$A$21)</c:f>
              <c:numCache>
                <c:formatCode>General</c:formatCode>
                <c:ptCount val="9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1023</c:v>
                </c:pt>
                <c:pt idx="4">
                  <c:v>1024</c:v>
                </c:pt>
                <c:pt idx="5">
                  <c:v>1025</c:v>
                </c:pt>
                <c:pt idx="6">
                  <c:v>2047</c:v>
                </c:pt>
                <c:pt idx="7">
                  <c:v>2048</c:v>
                </c:pt>
                <c:pt idx="8">
                  <c:v>2049</c:v>
                </c:pt>
              </c:numCache>
            </c:numRef>
          </c:cat>
          <c:val>
            <c:numRef>
              <c:f>(tune!$E$2,tune!$E$6,tune!$E$9,tune!$E$12,tune!$E$13,tune!$E$14,tune!$E$19,tune!$E$20,tune!$E$21)</c:f>
              <c:numCache>
                <c:formatCode>General</c:formatCode>
                <c:ptCount val="9"/>
                <c:pt idx="0">
                  <c:v>66.215753424657535</c:v>
                </c:pt>
                <c:pt idx="1">
                  <c:v>41.229885057471265</c:v>
                </c:pt>
                <c:pt idx="2">
                  <c:v>15.306843267108169</c:v>
                </c:pt>
                <c:pt idx="3">
                  <c:v>8.4613297150610585</c:v>
                </c:pt>
                <c:pt idx="4">
                  <c:v>9.366847826086957</c:v>
                </c:pt>
                <c:pt idx="5">
                  <c:v>7.8</c:v>
                </c:pt>
                <c:pt idx="6">
                  <c:v>3.7637426900584798</c:v>
                </c:pt>
                <c:pt idx="7">
                  <c:v>3.9434065934065936</c:v>
                </c:pt>
                <c:pt idx="8">
                  <c:v>3.5211428571428574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C7-0C4A-8131-82DF09CB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114543"/>
        <c:axId val="903917999"/>
      </c:lineChart>
      <c:catAx>
        <c:axId val="9051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17999"/>
        <c:crosses val="autoZero"/>
        <c:auto val="1"/>
        <c:lblAlgn val="ctr"/>
        <c:lblOffset val="100"/>
        <c:noMultiLvlLbl val="0"/>
      </c:catAx>
      <c:valAx>
        <c:axId val="9039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tune!$F$1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tune!$A$2:$A$21</c:f>
              <c:numCache>
                <c:formatCode>General</c:formatCode>
                <c:ptCount val="20"/>
                <c:pt idx="0">
                  <c:v>256</c:v>
                </c:pt>
                <c:pt idx="1">
                  <c:v>257</c:v>
                </c:pt>
                <c:pt idx="2">
                  <c:v>329</c:v>
                </c:pt>
                <c:pt idx="3">
                  <c:v>511</c:v>
                </c:pt>
                <c:pt idx="4">
                  <c:v>512</c:v>
                </c:pt>
                <c:pt idx="5">
                  <c:v>513</c:v>
                </c:pt>
                <c:pt idx="6">
                  <c:v>631</c:v>
                </c:pt>
                <c:pt idx="7">
                  <c:v>768</c:v>
                </c:pt>
                <c:pt idx="8">
                  <c:v>843</c:v>
                </c:pt>
                <c:pt idx="9">
                  <c:v>960</c:v>
                </c:pt>
                <c:pt idx="10">
                  <c:v>1023</c:v>
                </c:pt>
                <c:pt idx="11">
                  <c:v>1024</c:v>
                </c:pt>
                <c:pt idx="12">
                  <c:v>1025</c:v>
                </c:pt>
                <c:pt idx="13">
                  <c:v>1374</c:v>
                </c:pt>
                <c:pt idx="14">
                  <c:v>1536</c:v>
                </c:pt>
                <c:pt idx="15">
                  <c:v>1720</c:v>
                </c:pt>
                <c:pt idx="16">
                  <c:v>1845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</c:numCache>
            </c:numRef>
          </c:cat>
          <c:val>
            <c:numRef>
              <c:f>tune!$F$2:$F$21</c:f>
              <c:numCache>
                <c:formatCode>General</c:formatCode>
                <c:ptCount val="20"/>
                <c:pt idx="0">
                  <c:v>386.7</c:v>
                </c:pt>
                <c:pt idx="1">
                  <c:v>328.2</c:v>
                </c:pt>
                <c:pt idx="2">
                  <c:v>420.8</c:v>
                </c:pt>
                <c:pt idx="3">
                  <c:v>646.5</c:v>
                </c:pt>
                <c:pt idx="4">
                  <c:v>717.4</c:v>
                </c:pt>
                <c:pt idx="5">
                  <c:v>463.1</c:v>
                </c:pt>
                <c:pt idx="6">
                  <c:v>581.5</c:v>
                </c:pt>
                <c:pt idx="7">
                  <c:v>693.4</c:v>
                </c:pt>
                <c:pt idx="8">
                  <c:v>542.6</c:v>
                </c:pt>
                <c:pt idx="9">
                  <c:v>709.4</c:v>
                </c:pt>
                <c:pt idx="10">
                  <c:v>623.6</c:v>
                </c:pt>
                <c:pt idx="11">
                  <c:v>689.4</c:v>
                </c:pt>
                <c:pt idx="12">
                  <c:v>573.29999999999995</c:v>
                </c:pt>
                <c:pt idx="13">
                  <c:v>608.9</c:v>
                </c:pt>
                <c:pt idx="14">
                  <c:v>704</c:v>
                </c:pt>
                <c:pt idx="15">
                  <c:v>664.5</c:v>
                </c:pt>
                <c:pt idx="16">
                  <c:v>630.79999999999995</c:v>
                </c:pt>
                <c:pt idx="17">
                  <c:v>643.6</c:v>
                </c:pt>
                <c:pt idx="18">
                  <c:v>717.7</c:v>
                </c:pt>
                <c:pt idx="19">
                  <c:v>616.20000000000005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A5-694E-9F13-59E2739C0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74895"/>
        <c:axId val="966176527"/>
      </c:lineChart>
      <c:catAx>
        <c:axId val="96617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76527"/>
        <c:crosses val="autoZero"/>
        <c:auto val="1"/>
        <c:lblAlgn val="ctr"/>
        <c:lblOffset val="100"/>
        <c:noMultiLvlLbl val="0"/>
      </c:catAx>
      <c:valAx>
        <c:axId val="9661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7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tune!$B$1</c:f>
              <c:strCache>
                <c:ptCount val="1"/>
                <c:pt idx="0">
                  <c:v>BLAS (GFlops)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(tune!$A$2,tune!$A$6,tune!$A$9,tune!$A$12,tune!$A$13,tune!$A$14,tune!$A$19,tune!$A$20,tune!$A$21)</c:f>
              <c:numCache>
                <c:formatCode>General</c:formatCode>
                <c:ptCount val="9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1023</c:v>
                </c:pt>
                <c:pt idx="4">
                  <c:v>1024</c:v>
                </c:pt>
                <c:pt idx="5">
                  <c:v>1025</c:v>
                </c:pt>
                <c:pt idx="6">
                  <c:v>2047</c:v>
                </c:pt>
                <c:pt idx="7">
                  <c:v>2048</c:v>
                </c:pt>
                <c:pt idx="8">
                  <c:v>2049</c:v>
                </c:pt>
              </c:numCache>
            </c:numRef>
          </c:xVal>
          <c:yVal>
            <c:numRef>
              <c:f>(tune!$B$2,tune!$B$6,tune!$B$9,tune!$B$12,tune!$B$13,tune!$B$14,tune!$B$19,tune!$B$20,tune!$B$21)</c:f>
              <c:numCache>
                <c:formatCode>General</c:formatCode>
                <c:ptCount val="9"/>
                <c:pt idx="0">
                  <c:v>5.84</c:v>
                </c:pt>
                <c:pt idx="1">
                  <c:v>17.399999999999999</c:v>
                </c:pt>
                <c:pt idx="2">
                  <c:v>45.3</c:v>
                </c:pt>
                <c:pt idx="3">
                  <c:v>73.7</c:v>
                </c:pt>
                <c:pt idx="4">
                  <c:v>73.599999999999994</c:v>
                </c:pt>
                <c:pt idx="5">
                  <c:v>73.5</c:v>
                </c:pt>
                <c:pt idx="6">
                  <c:v>171</c:v>
                </c:pt>
                <c:pt idx="7">
                  <c:v>182</c:v>
                </c:pt>
                <c:pt idx="8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FB-1549-8D06-092C0006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988287"/>
        <c:axId val="969543839"/>
      </c:scatterChart>
      <c:valAx>
        <c:axId val="96698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43839"/>
        <c:crosses val="autoZero"/>
        <c:crossBetween val="midCat"/>
      </c:valAx>
      <c:valAx>
        <c:axId val="9695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8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Tuning</a:t>
            </a:r>
            <a:r>
              <a:rPr lang="en-US" baseline="0"/>
              <a:t> Block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size_16!$B$1</c:f>
              <c:strCache>
                <c:ptCount val="1"/>
                <c:pt idx="0">
                  <c:v>16x16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size_16!$A$2:$A$5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size_16!$B$2:$B$5</c:f>
              <c:numCache>
                <c:formatCode>General</c:formatCode>
                <c:ptCount val="4"/>
                <c:pt idx="0">
                  <c:v>351.6</c:v>
                </c:pt>
                <c:pt idx="1">
                  <c:v>548.1</c:v>
                </c:pt>
                <c:pt idx="2">
                  <c:v>603.1</c:v>
                </c:pt>
                <c:pt idx="3">
                  <c:v>641.1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E-7C47-BE11-F028EA17425A}"/>
            </c:ext>
          </c:extLst>
        </c:ser>
        <c:ser>
          <c:idx val="2"/>
          <c:order val="1"/>
          <c:tx>
            <c:strRef>
              <c:f>size_16!$C$1</c:f>
              <c:strCache>
                <c:ptCount val="1"/>
                <c:pt idx="0">
                  <c:v>16x8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size_16!$A$2:$A$5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size_16!$C$2:$C$5</c:f>
              <c:numCache>
                <c:formatCode>General</c:formatCode>
                <c:ptCount val="4"/>
                <c:pt idx="0">
                  <c:v>332.9</c:v>
                </c:pt>
                <c:pt idx="1">
                  <c:v>584.9</c:v>
                </c:pt>
                <c:pt idx="2">
                  <c:v>708.3</c:v>
                </c:pt>
                <c:pt idx="3">
                  <c:v>714.6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E-7C47-BE11-F028EA17425A}"/>
            </c:ext>
          </c:extLst>
        </c:ser>
        <c:ser>
          <c:idx val="3"/>
          <c:order val="2"/>
          <c:tx>
            <c:strRef>
              <c:f>size_16!$D$1</c:f>
              <c:strCache>
                <c:ptCount val="1"/>
                <c:pt idx="0">
                  <c:v>8x8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size_16!$A$2:$A$5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size_16!$D$2:$D$5</c:f>
              <c:numCache>
                <c:formatCode>General</c:formatCode>
                <c:ptCount val="4"/>
                <c:pt idx="0">
                  <c:v>167.2</c:v>
                </c:pt>
                <c:pt idx="1">
                  <c:v>441.3</c:v>
                </c:pt>
                <c:pt idx="2">
                  <c:v>577.4</c:v>
                </c:pt>
                <c:pt idx="3">
                  <c:v>622.9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8E-7C47-BE11-F028EA17425A}"/>
            </c:ext>
          </c:extLst>
        </c:ser>
        <c:ser>
          <c:idx val="4"/>
          <c:order val="3"/>
          <c:tx>
            <c:strRef>
              <c:f>size_16!$E$1</c:f>
              <c:strCache>
                <c:ptCount val="1"/>
                <c:pt idx="0">
                  <c:v>8x4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size_16!$A$2:$A$5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size_16!$E$2:$E$5</c:f>
              <c:numCache>
                <c:formatCode>General</c:formatCode>
                <c:ptCount val="4"/>
                <c:pt idx="0">
                  <c:v>27.1</c:v>
                </c:pt>
                <c:pt idx="1">
                  <c:v>77.8</c:v>
                </c:pt>
                <c:pt idx="2">
                  <c:v>111.5</c:v>
                </c:pt>
                <c:pt idx="3">
                  <c:v>115.8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8E-7C47-BE11-F028EA17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931135"/>
        <c:axId val="958033359"/>
      </c:lineChart>
      <c:catAx>
        <c:axId val="95793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033359"/>
        <c:crosses val="autoZero"/>
        <c:auto val="1"/>
        <c:lblAlgn val="ctr"/>
        <c:lblOffset val="100"/>
        <c:noMultiLvlLbl val="0"/>
      </c:catAx>
      <c:valAx>
        <c:axId val="9580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3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TW=16</a:t>
            </a:r>
            <a:r>
              <a:rPr lang="en-US" baseline="0"/>
              <a:t> better than TW=32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size_32!$B$1</c:f>
              <c:strCache>
                <c:ptCount val="1"/>
                <c:pt idx="0">
                  <c:v>16x16, TW32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size_32!$A$2:$A$5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size_32!$B$2:$B$5</c:f>
              <c:numCache>
                <c:formatCode>General</c:formatCode>
                <c:ptCount val="4"/>
                <c:pt idx="0">
                  <c:v>378.7</c:v>
                </c:pt>
                <c:pt idx="1">
                  <c:v>603</c:v>
                </c:pt>
                <c:pt idx="2">
                  <c:v>627.9</c:v>
                </c:pt>
                <c:pt idx="3">
                  <c:v>636.70000000000005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9-0542-9E5F-5180AA4E975D}"/>
            </c:ext>
          </c:extLst>
        </c:ser>
        <c:ser>
          <c:idx val="0"/>
          <c:order val="1"/>
          <c:tx>
            <c:strRef>
              <c:f>size_32!$C$1</c:f>
              <c:strCache>
                <c:ptCount val="1"/>
                <c:pt idx="0">
                  <c:v>16x16, TW16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size_32!$A$2:$A$5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size_32!$C$2:$C$5</c:f>
              <c:numCache>
                <c:formatCode>General</c:formatCode>
                <c:ptCount val="4"/>
                <c:pt idx="0">
                  <c:v>382.9</c:v>
                </c:pt>
                <c:pt idx="1">
                  <c:v>608</c:v>
                </c:pt>
                <c:pt idx="2">
                  <c:v>652.1</c:v>
                </c:pt>
                <c:pt idx="3">
                  <c:v>652.1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39-0542-9E5F-5180AA4E975D}"/>
            </c:ext>
          </c:extLst>
        </c:ser>
        <c:ser>
          <c:idx val="4"/>
          <c:order val="2"/>
          <c:tx>
            <c:strRef>
              <c:f>size_32!$D$1</c:f>
              <c:strCache>
                <c:ptCount val="1"/>
                <c:pt idx="0">
                  <c:v>16x8, TW32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size_32!$A$2:$A$5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size_32!$D$2:$D$5</c:f>
              <c:numCache>
                <c:formatCode>General</c:formatCode>
                <c:ptCount val="4"/>
                <c:pt idx="0">
                  <c:v>312.7</c:v>
                </c:pt>
                <c:pt idx="1">
                  <c:v>591.79999999999995</c:v>
                </c:pt>
                <c:pt idx="2">
                  <c:v>661.1</c:v>
                </c:pt>
                <c:pt idx="3">
                  <c:v>668.9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39-0542-9E5F-5180AA4E975D}"/>
            </c:ext>
          </c:extLst>
        </c:ser>
        <c:ser>
          <c:idx val="5"/>
          <c:order val="3"/>
          <c:tx>
            <c:strRef>
              <c:f>size_32!$E$1</c:f>
              <c:strCache>
                <c:ptCount val="1"/>
                <c:pt idx="0">
                  <c:v>16x8, TW16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size_32!$A$2:$A$5</c:f>
              <c:numCache>
                <c:formatCode>General</c:formatCode>
                <c:ptCount val="4"/>
                <c:pt idx="0">
                  <c:v>256</c:v>
                </c:pt>
                <c:pt idx="1">
                  <c:v>512</c:v>
                </c:pt>
                <c:pt idx="2">
                  <c:v>1024</c:v>
                </c:pt>
                <c:pt idx="3">
                  <c:v>2048</c:v>
                </c:pt>
              </c:numCache>
            </c:numRef>
          </c:cat>
          <c:val>
            <c:numRef>
              <c:f>size_32!$E$2:$E$5</c:f>
              <c:numCache>
                <c:formatCode>General</c:formatCode>
                <c:ptCount val="4"/>
                <c:pt idx="0">
                  <c:v>354.1</c:v>
                </c:pt>
                <c:pt idx="1">
                  <c:v>719.1</c:v>
                </c:pt>
                <c:pt idx="2">
                  <c:v>693</c:v>
                </c:pt>
                <c:pt idx="3">
                  <c:v>717.2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39-0542-9E5F-5180AA4E9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114879"/>
        <c:axId val="967116511"/>
      </c:barChart>
      <c:catAx>
        <c:axId val="9671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16511"/>
        <c:auto val="1"/>
        <c:lblAlgn val="ctr"/>
        <c:lblOffset val="100"/>
        <c:noMultiLvlLbl val="0"/>
      </c:catAx>
      <c:valAx>
        <c:axId val="9671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14879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0</xdr:row>
      <xdr:rowOff>361950</xdr:rowOff>
    </xdr:from>
    <xdr:to>
      <xdr:col>12</xdr:col>
      <xdr:colOff>222250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83098-767F-4F48-BC95-23FA8B8E9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412750</xdr:colOff>
      <xdr:row>15</xdr:row>
      <xdr:rowOff>57150</xdr:rowOff>
    </xdr:from>
    <xdr:to>
      <xdr:col>15</xdr:col>
      <xdr:colOff>31750</xdr:colOff>
      <xdr:row>28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A17D15-0812-4E46-831E-147FE6404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23</xdr:row>
      <xdr:rowOff>95250</xdr:rowOff>
    </xdr:from>
    <xdr:to>
      <xdr:col>8</xdr:col>
      <xdr:colOff>558800</xdr:colOff>
      <xdr:row>36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AE9D39-86C4-6949-A072-C5F04D788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11</xdr:row>
      <xdr:rowOff>44450</xdr:rowOff>
    </xdr:from>
    <xdr:to>
      <xdr:col>10</xdr:col>
      <xdr:colOff>469900</xdr:colOff>
      <xdr:row>24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F18EAE-2D90-FA45-BED3-C2CB03D6D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4</xdr:row>
      <xdr:rowOff>146050</xdr:rowOff>
    </xdr:from>
    <xdr:to>
      <xdr:col>12</xdr:col>
      <xdr:colOff>0</xdr:colOff>
      <xdr:row>18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E5F1C-CC1D-8F4D-81F4-9617F5223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2A5F-8410-604A-9EE3-0A32FB8E30AE}">
  <dimension ref="A1:F21"/>
  <sheetViews>
    <sheetView tabSelected="1" workbookViewId="0">
      <selection activeCell="H20" sqref="H20"/>
    </sheetView>
  </sheetViews>
  <sheetFormatPr baseColWidth="10" defaultRowHeight="16"/>
  <sheetData>
    <row r="1" spans="1:6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256</v>
      </c>
      <c r="B2" s="1">
        <v>5.84</v>
      </c>
      <c r="C2" s="2">
        <v>357.3</v>
      </c>
      <c r="D2" s="1">
        <v>386.7</v>
      </c>
      <c r="E2">
        <f>MAX(C2,D2)/B2</f>
        <v>66.215753424657535</v>
      </c>
      <c r="F2">
        <f>MAX(C2,D2)</f>
        <v>386.7</v>
      </c>
    </row>
    <row r="3" spans="1:6">
      <c r="A3" s="1">
        <v>257</v>
      </c>
      <c r="B3" s="1"/>
      <c r="C3" s="2">
        <v>304.39999999999998</v>
      </c>
      <c r="D3" s="1">
        <v>328.2</v>
      </c>
      <c r="E3" t="e">
        <f t="shared" ref="E3:E21" si="0">MAX(C3,D3)/B3</f>
        <v>#DIV/0!</v>
      </c>
      <c r="F3">
        <f t="shared" ref="F3:F21" si="1">MAX(C3,D3)</f>
        <v>328.2</v>
      </c>
    </row>
    <row r="4" spans="1:6">
      <c r="A4" s="1">
        <v>329</v>
      </c>
      <c r="B4" s="1"/>
      <c r="C4" s="2">
        <v>420.8</v>
      </c>
      <c r="D4" s="1">
        <v>401.9</v>
      </c>
      <c r="E4" t="e">
        <f t="shared" si="0"/>
        <v>#DIV/0!</v>
      </c>
      <c r="F4">
        <f t="shared" si="1"/>
        <v>420.8</v>
      </c>
    </row>
    <row r="5" spans="1:6">
      <c r="A5" s="1">
        <v>511</v>
      </c>
      <c r="B5" s="1"/>
      <c r="C5" s="2">
        <v>646.5</v>
      </c>
      <c r="D5" s="1">
        <v>506.8</v>
      </c>
      <c r="E5" t="e">
        <f t="shared" si="0"/>
        <v>#DIV/0!</v>
      </c>
      <c r="F5">
        <f t="shared" si="1"/>
        <v>646.5</v>
      </c>
    </row>
    <row r="6" spans="1:6">
      <c r="A6" s="1">
        <v>512</v>
      </c>
      <c r="B6" s="1">
        <v>17.399999999999999</v>
      </c>
      <c r="C6" s="2">
        <v>717.4</v>
      </c>
      <c r="D6" s="1">
        <v>612.70000000000005</v>
      </c>
      <c r="E6">
        <f t="shared" si="0"/>
        <v>41.229885057471265</v>
      </c>
      <c r="F6">
        <f t="shared" si="1"/>
        <v>717.4</v>
      </c>
    </row>
    <row r="7" spans="1:6">
      <c r="A7" s="1">
        <v>513</v>
      </c>
      <c r="B7" s="1"/>
      <c r="C7" s="2">
        <v>463.1</v>
      </c>
      <c r="D7" s="1">
        <v>411.2</v>
      </c>
      <c r="E7" t="e">
        <f t="shared" si="0"/>
        <v>#DIV/0!</v>
      </c>
      <c r="F7">
        <f t="shared" si="1"/>
        <v>463.1</v>
      </c>
    </row>
    <row r="8" spans="1:6">
      <c r="A8" s="1">
        <v>631</v>
      </c>
      <c r="B8" s="1"/>
      <c r="C8" s="2">
        <v>581.5</v>
      </c>
      <c r="D8" s="1">
        <v>559.79999999999995</v>
      </c>
      <c r="E8" t="e">
        <f t="shared" si="0"/>
        <v>#DIV/0!</v>
      </c>
      <c r="F8">
        <f t="shared" si="1"/>
        <v>581.5</v>
      </c>
    </row>
    <row r="9" spans="1:6">
      <c r="A9" s="1">
        <v>768</v>
      </c>
      <c r="B9" s="1">
        <v>45.3</v>
      </c>
      <c r="C9" s="2">
        <v>693.4</v>
      </c>
      <c r="D9" s="1">
        <v>625.79999999999995</v>
      </c>
      <c r="E9">
        <f t="shared" si="0"/>
        <v>15.306843267108169</v>
      </c>
      <c r="F9">
        <f t="shared" si="1"/>
        <v>693.4</v>
      </c>
    </row>
    <row r="10" spans="1:6">
      <c r="A10" s="1">
        <v>843</v>
      </c>
      <c r="B10" s="1"/>
      <c r="C10" s="2">
        <v>542.6</v>
      </c>
      <c r="D10" s="1">
        <v>513.4</v>
      </c>
      <c r="E10" t="e">
        <f t="shared" si="0"/>
        <v>#DIV/0!</v>
      </c>
      <c r="F10">
        <f t="shared" si="1"/>
        <v>542.6</v>
      </c>
    </row>
    <row r="11" spans="1:6">
      <c r="A11" s="1">
        <v>960</v>
      </c>
      <c r="B11" s="1"/>
      <c r="C11" s="2">
        <v>709.4</v>
      </c>
      <c r="D11" s="1">
        <v>626.9</v>
      </c>
      <c r="E11" t="e">
        <f t="shared" si="0"/>
        <v>#DIV/0!</v>
      </c>
      <c r="F11">
        <f t="shared" si="1"/>
        <v>709.4</v>
      </c>
    </row>
    <row r="12" spans="1:6">
      <c r="A12" s="1">
        <v>1023</v>
      </c>
      <c r="B12" s="1">
        <v>73.7</v>
      </c>
      <c r="C12" s="2">
        <v>623.6</v>
      </c>
      <c r="D12" s="1">
        <v>577.6</v>
      </c>
      <c r="E12">
        <f t="shared" si="0"/>
        <v>8.4613297150610585</v>
      </c>
      <c r="F12">
        <f t="shared" si="1"/>
        <v>623.6</v>
      </c>
    </row>
    <row r="13" spans="1:6">
      <c r="A13" s="1">
        <v>1024</v>
      </c>
      <c r="B13" s="1">
        <v>73.599999999999994</v>
      </c>
      <c r="C13" s="2">
        <v>689.4</v>
      </c>
      <c r="D13" s="1">
        <v>640.29999999999995</v>
      </c>
      <c r="E13">
        <f t="shared" si="0"/>
        <v>9.366847826086957</v>
      </c>
      <c r="F13">
        <f t="shared" si="1"/>
        <v>689.4</v>
      </c>
    </row>
    <row r="14" spans="1:6">
      <c r="A14" s="1">
        <v>1025</v>
      </c>
      <c r="B14" s="1">
        <v>73.5</v>
      </c>
      <c r="C14" s="2">
        <v>573.29999999999995</v>
      </c>
      <c r="D14" s="1">
        <v>512</v>
      </c>
      <c r="E14">
        <f t="shared" si="0"/>
        <v>7.8</v>
      </c>
      <c r="F14">
        <f t="shared" si="1"/>
        <v>573.29999999999995</v>
      </c>
    </row>
    <row r="15" spans="1:6">
      <c r="A15" s="1">
        <v>1374</v>
      </c>
      <c r="B15" s="1"/>
      <c r="C15" s="2">
        <v>608.9</v>
      </c>
      <c r="D15" s="1">
        <v>550.6</v>
      </c>
      <c r="E15" t="e">
        <f t="shared" si="0"/>
        <v>#DIV/0!</v>
      </c>
      <c r="F15">
        <f t="shared" si="1"/>
        <v>608.9</v>
      </c>
    </row>
    <row r="16" spans="1:6">
      <c r="A16" s="1">
        <v>1536</v>
      </c>
      <c r="B16" s="1"/>
      <c r="C16" s="2">
        <v>704</v>
      </c>
      <c r="D16" s="1">
        <v>634.1</v>
      </c>
      <c r="E16" t="e">
        <f t="shared" si="0"/>
        <v>#DIV/0!</v>
      </c>
      <c r="F16">
        <f t="shared" si="1"/>
        <v>704</v>
      </c>
    </row>
    <row r="17" spans="1:6">
      <c r="A17" s="1">
        <v>1720</v>
      </c>
      <c r="B17" s="1"/>
      <c r="C17" s="2">
        <v>664.5</v>
      </c>
      <c r="D17" s="1">
        <v>592.6</v>
      </c>
      <c r="E17" t="e">
        <f t="shared" si="0"/>
        <v>#DIV/0!</v>
      </c>
      <c r="F17">
        <f t="shared" si="1"/>
        <v>664.5</v>
      </c>
    </row>
    <row r="18" spans="1:6">
      <c r="A18" s="1">
        <v>1845</v>
      </c>
      <c r="B18" s="1"/>
      <c r="C18" s="2">
        <v>630.79999999999995</v>
      </c>
      <c r="D18" s="1">
        <v>563</v>
      </c>
      <c r="E18" t="e">
        <f t="shared" si="0"/>
        <v>#DIV/0!</v>
      </c>
      <c r="F18">
        <f t="shared" si="1"/>
        <v>630.79999999999995</v>
      </c>
    </row>
    <row r="19" spans="1:6">
      <c r="A19" s="1">
        <v>2047</v>
      </c>
      <c r="B19" s="1">
        <v>171</v>
      </c>
      <c r="C19" s="2">
        <v>643.6</v>
      </c>
      <c r="D19" s="1">
        <v>577.1</v>
      </c>
      <c r="E19">
        <f t="shared" si="0"/>
        <v>3.7637426900584798</v>
      </c>
      <c r="F19">
        <f t="shared" si="1"/>
        <v>643.6</v>
      </c>
    </row>
    <row r="20" spans="1:6">
      <c r="A20" s="1">
        <v>2048</v>
      </c>
      <c r="B20" s="1">
        <v>182</v>
      </c>
      <c r="C20" s="2">
        <v>717.7</v>
      </c>
      <c r="D20" s="1">
        <v>640.70000000000005</v>
      </c>
      <c r="E20">
        <f t="shared" si="0"/>
        <v>3.9434065934065936</v>
      </c>
      <c r="F20">
        <f t="shared" si="1"/>
        <v>717.7</v>
      </c>
    </row>
    <row r="21" spans="1:6">
      <c r="A21" s="1">
        <v>2049</v>
      </c>
      <c r="B21" s="1">
        <v>175</v>
      </c>
      <c r="C21" s="2">
        <v>616.20000000000005</v>
      </c>
      <c r="D21" s="1">
        <v>546.9</v>
      </c>
      <c r="E21">
        <f t="shared" si="0"/>
        <v>3.5211428571428574</v>
      </c>
      <c r="F21">
        <f t="shared" si="1"/>
        <v>616.20000000000005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E136-4EFE-8743-8A08-D9A6DD667897}">
  <dimension ref="A1:E5"/>
  <sheetViews>
    <sheetView workbookViewId="0">
      <selection sqref="A1:E5"/>
    </sheetView>
  </sheetViews>
  <sheetFormatPr baseColWidth="10" defaultRowHeight="16"/>
  <sheetData>
    <row r="1" spans="1: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256</v>
      </c>
      <c r="B2">
        <v>351.6</v>
      </c>
      <c r="C2">
        <v>332.9</v>
      </c>
      <c r="D2">
        <v>167.2</v>
      </c>
      <c r="E2">
        <v>27.1</v>
      </c>
    </row>
    <row r="3" spans="1:5">
      <c r="A3">
        <v>512</v>
      </c>
      <c r="B3">
        <v>548.1</v>
      </c>
      <c r="C3">
        <v>584.9</v>
      </c>
      <c r="D3">
        <v>441.3</v>
      </c>
      <c r="E3">
        <v>77.8</v>
      </c>
    </row>
    <row r="4" spans="1:5">
      <c r="A4">
        <v>1024</v>
      </c>
      <c r="B4">
        <v>603.1</v>
      </c>
      <c r="C4">
        <v>708.3</v>
      </c>
      <c r="D4">
        <v>577.4</v>
      </c>
      <c r="E4">
        <v>111.5</v>
      </c>
    </row>
    <row r="5" spans="1:5">
      <c r="A5">
        <v>2048</v>
      </c>
      <c r="B5">
        <v>641.1</v>
      </c>
      <c r="C5">
        <v>714.6</v>
      </c>
      <c r="D5">
        <v>622.9</v>
      </c>
      <c r="E5">
        <v>115.8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F852-08F9-5047-BAFC-FDB95D517D7D}">
  <dimension ref="A1:E5"/>
  <sheetViews>
    <sheetView workbookViewId="0">
      <selection activeCell="M6" sqref="M6"/>
    </sheetView>
  </sheetViews>
  <sheetFormatPr baseColWidth="10" defaultRowHeight="16"/>
  <sheetData>
    <row r="1" spans="1:5">
      <c r="A1" t="s">
        <v>0</v>
      </c>
      <c r="B1" t="s">
        <v>10</v>
      </c>
      <c r="C1" t="s">
        <v>11</v>
      </c>
      <c r="D1" s="3" t="s">
        <v>12</v>
      </c>
      <c r="E1" s="3" t="s">
        <v>13</v>
      </c>
    </row>
    <row r="2" spans="1:5" ht="17">
      <c r="A2">
        <v>256</v>
      </c>
      <c r="B2" s="4">
        <v>378.7</v>
      </c>
      <c r="C2" s="4">
        <v>382.9</v>
      </c>
      <c r="D2" s="4">
        <v>312.7</v>
      </c>
      <c r="E2" s="4">
        <v>354.1</v>
      </c>
    </row>
    <row r="3" spans="1:5" ht="17">
      <c r="A3">
        <v>512</v>
      </c>
      <c r="B3" s="4">
        <v>603</v>
      </c>
      <c r="C3">
        <v>608</v>
      </c>
      <c r="D3">
        <v>591.79999999999995</v>
      </c>
      <c r="E3">
        <v>719.1</v>
      </c>
    </row>
    <row r="4" spans="1:5" ht="17">
      <c r="A4">
        <v>1024</v>
      </c>
      <c r="B4" s="4">
        <v>627.9</v>
      </c>
      <c r="C4">
        <v>652.1</v>
      </c>
      <c r="D4">
        <v>661.1</v>
      </c>
      <c r="E4">
        <v>693</v>
      </c>
    </row>
    <row r="5" spans="1:5" ht="17">
      <c r="A5">
        <v>2048</v>
      </c>
      <c r="B5" s="4">
        <v>636.70000000000005</v>
      </c>
      <c r="C5">
        <v>652.1</v>
      </c>
      <c r="D5">
        <v>668.9</v>
      </c>
      <c r="E5">
        <v>717.2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tune</vt:lpstr>
      <vt:lpstr>size_16</vt:lpstr>
      <vt:lpstr>size_32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Jin Fan</cp:lastModifiedBy>
  <dcterms:created xsi:type="dcterms:W3CDTF">2020-02-18T03:45:03Z</dcterms:created>
  <dcterms:modified xsi:type="dcterms:W3CDTF">2020-02-18T19:07:42Z</dcterms:modified>
</cp:coreProperties>
</file>